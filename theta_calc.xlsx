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ichikajiura/Document_local/OU/Research/Code/SPM_FDM/"/>
    </mc:Choice>
  </mc:AlternateContent>
  <xr:revisionPtr revIDLastSave="0" documentId="13_ncr:1_{F6BC70E2-ABCB-0F4B-BB22-E6FF958FA611}" xr6:coauthVersionLast="47" xr6:coauthVersionMax="47" xr10:uidLastSave="{00000000-0000-0000-0000-000000000000}"/>
  <bookViews>
    <workbookView xWindow="0" yWindow="500" windowWidth="28800" windowHeight="16340" xr2:uid="{B403A230-F29C-BC44-8C6B-2968B374F800}"/>
  </bookViews>
  <sheets>
    <sheet name="bosch" sheetId="3" r:id="rId1"/>
    <sheet name="spm_fd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" l="1"/>
  <c r="D19" i="3"/>
  <c r="F18" i="3"/>
  <c r="D18" i="3"/>
  <c r="G4" i="3"/>
  <c r="F4" i="3"/>
  <c r="I4" i="3"/>
  <c r="E4" i="3"/>
  <c r="H4" i="3"/>
  <c r="D4" i="3"/>
  <c r="E14" i="3"/>
  <c r="I6" i="3" s="1"/>
  <c r="D14" i="3"/>
  <c r="H6" i="3" s="1"/>
  <c r="D4" i="1"/>
  <c r="D21" i="1"/>
  <c r="D22" i="1"/>
  <c r="D23" i="1"/>
  <c r="D5" i="1"/>
  <c r="G8" i="1"/>
  <c r="H8" i="1"/>
  <c r="E4" i="1"/>
  <c r="K4" i="1" s="1"/>
  <c r="K6" i="1" s="1"/>
  <c r="K8" i="1"/>
  <c r="J8" i="1"/>
  <c r="E8" i="1"/>
  <c r="D8" i="1"/>
  <c r="F21" i="3" l="1"/>
  <c r="F23" i="3" s="1"/>
  <c r="F6" i="3"/>
  <c r="E6" i="3"/>
  <c r="G6" i="3"/>
  <c r="D21" i="3"/>
  <c r="D23" i="3" s="1"/>
  <c r="D6" i="3"/>
  <c r="J4" i="1"/>
  <c r="H4" i="1"/>
  <c r="K10" i="1"/>
  <c r="D10" i="1"/>
  <c r="E10" i="1" s="1"/>
  <c r="E5" i="1" s="1"/>
  <c r="H5" i="1" s="1"/>
  <c r="G4" i="1"/>
  <c r="H10" i="1" l="1"/>
  <c r="G10" i="1" s="1"/>
  <c r="G5" i="1" s="1"/>
  <c r="G6" i="1" s="1"/>
  <c r="H6" i="1"/>
  <c r="E6" i="1"/>
  <c r="J10" i="1"/>
  <c r="J5" i="1" s="1"/>
  <c r="J6" i="1" s="1"/>
  <c r="D20" i="1" s="1"/>
</calcChain>
</file>

<file path=xl/sharedStrings.xml><?xml version="1.0" encoding="utf-8"?>
<sst xmlns="http://schemas.openxmlformats.org/spreadsheetml/2006/main" count="97" uniqueCount="42">
  <si>
    <t>neg</t>
  </si>
  <si>
    <t>pos</t>
  </si>
  <si>
    <t>c_max</t>
  </si>
  <si>
    <t>epsilon</t>
  </si>
  <si>
    <t>thickness</t>
  </si>
  <si>
    <t>area</t>
  </si>
  <si>
    <t>theta</t>
  </si>
  <si>
    <t>[mol/m3]</t>
  </si>
  <si>
    <t>[mol]</t>
  </si>
  <si>
    <t>[m]</t>
  </si>
  <si>
    <t>[m2]</t>
  </si>
  <si>
    <t>Li-ion</t>
  </si>
  <si>
    <t>c_ss</t>
  </si>
  <si>
    <t>Faraday Const</t>
  </si>
  <si>
    <t>[C/mol]</t>
  </si>
  <si>
    <t>[mAh/g]</t>
  </si>
  <si>
    <t>Mass Densitiy</t>
  </si>
  <si>
    <t>[kg/m3]</t>
  </si>
  <si>
    <t>[C/Ah]</t>
  </si>
  <si>
    <t>Specific capacity</t>
  </si>
  <si>
    <t>SoC 50%</t>
  </si>
  <si>
    <t>[Ah]</t>
  </si>
  <si>
    <t>[C]</t>
  </si>
  <si>
    <t>Mole of Li-ion(or electron) moved</t>
  </si>
  <si>
    <t>Total coulombs moved</t>
  </si>
  <si>
    <t>Diff_c from SoC 100% to 0%</t>
  </si>
  <si>
    <t>Total Ah delivered</t>
  </si>
  <si>
    <t>Validation</t>
  </si>
  <si>
    <t>Constant</t>
  </si>
  <si>
    <t>Concentration Calc</t>
  </si>
  <si>
    <t>SoC 0% (at 2.5 V)</t>
  </si>
  <si>
    <t>Hard tiped</t>
  </si>
  <si>
    <t>Variable to tune</t>
  </si>
  <si>
    <t>Calculated</t>
  </si>
  <si>
    <t>Color code</t>
  </si>
  <si>
    <t>from init_cs()</t>
  </si>
  <si>
    <t>Total Li-ion</t>
  </si>
  <si>
    <t>SoC 100% (at 4.5 V)</t>
  </si>
  <si>
    <t xml:space="preserve"> - </t>
  </si>
  <si>
    <t>SoC 100% (at 4.4 V)</t>
  </si>
  <si>
    <t>Hard coded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</si>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</sst>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9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3" fillId="0" borderId="0" xfId="0" applyFont="1"/>
    <xf numFmtId="0" fontId="3" fillId="2" borderId="0" xfId="0" applyFont="1" applyFill="1"/>
    <xf numFmtId="164" fontId="3" fillId="2" borderId="0" xfId="0" applyNumberFormat="1" applyFont="1" applyFill="1"/>
    <xf numFmtId="0" fontId="4" fillId="0" borderId="0" xfId="0" applyFont="1"/>
    <xf numFmtId="0" fontId="2" fillId="3" borderId="0" xfId="0" applyFont="1" applyFill="1"/>
    <xf numFmtId="1" fontId="5" fillId="0" borderId="0" xfId="0" applyNumberFormat="1" applyFont="1"/>
    <xf numFmtId="1" fontId="3" fillId="0" borderId="0" xfId="0" applyNumberFormat="1" applyFont="1"/>
    <xf numFmtId="0" fontId="4" fillId="0" borderId="1" xfId="0" applyFont="1" applyBorder="1"/>
    <xf numFmtId="0" fontId="3" fillId="2" borderId="2" xfId="0" applyFont="1" applyFill="1" applyBorder="1"/>
    <xf numFmtId="0" fontId="3" fillId="0" borderId="2" xfId="0" applyFont="1" applyBorder="1"/>
    <xf numFmtId="1" fontId="0" fillId="0" borderId="2" xfId="0" applyNumberFormat="1" applyBorder="1"/>
    <xf numFmtId="1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751F-9CF7-194E-BC4D-7BE64C6D0D2E}">
  <dimension ref="B1:S23"/>
  <sheetViews>
    <sheetView showGridLines="0" tabSelected="1" zoomScale="125" workbookViewId="0">
      <selection activeCell="I19" sqref="I19"/>
    </sheetView>
  </sheetViews>
  <sheetFormatPr baseColWidth="10" defaultRowHeight="16" x14ac:dyDescent="0.2"/>
  <cols>
    <col min="2" max="2" width="29.1640625" bestFit="1" customWidth="1"/>
    <col min="4" max="4" width="10.83203125" customWidth="1"/>
    <col min="5" max="5" width="11.6640625" bestFit="1" customWidth="1"/>
    <col min="6" max="6" width="10.83203125" customWidth="1"/>
    <col min="7" max="7" width="11.6640625" bestFit="1" customWidth="1"/>
    <col min="8" max="8" width="11.5" customWidth="1"/>
    <col min="10" max="10" width="3" customWidth="1"/>
    <col min="11" max="11" width="14.33203125" bestFit="1" customWidth="1"/>
  </cols>
  <sheetData>
    <row r="1" spans="2:19" ht="17" thickBot="1" x14ac:dyDescent="0.25"/>
    <row r="2" spans="2:19" x14ac:dyDescent="0.2">
      <c r="B2" s="4" t="s">
        <v>29</v>
      </c>
      <c r="D2" s="9" t="s">
        <v>37</v>
      </c>
      <c r="E2" s="9"/>
      <c r="F2" s="9" t="s">
        <v>39</v>
      </c>
      <c r="G2" s="9"/>
      <c r="H2" s="9" t="s">
        <v>30</v>
      </c>
      <c r="I2" s="9"/>
      <c r="K2" s="12" t="s">
        <v>34</v>
      </c>
    </row>
    <row r="3" spans="2:19" x14ac:dyDescent="0.2">
      <c r="D3" s="9" t="s">
        <v>0</v>
      </c>
      <c r="E3" s="9" t="s">
        <v>1</v>
      </c>
      <c r="F3" s="9" t="s">
        <v>0</v>
      </c>
      <c r="G3" s="9" t="s">
        <v>1</v>
      </c>
      <c r="H3" s="9" t="s">
        <v>0</v>
      </c>
      <c r="I3" s="9" t="s">
        <v>1</v>
      </c>
      <c r="K3" s="13" t="s">
        <v>32</v>
      </c>
    </row>
    <row r="4" spans="2:19" x14ac:dyDescent="0.2">
      <c r="B4" s="9" t="s">
        <v>6</v>
      </c>
      <c r="C4" s="9"/>
      <c r="D4" s="2">
        <f>D5/$D12</f>
        <v>1.1137947962690231</v>
      </c>
      <c r="E4" s="2">
        <f>E5/$E12</f>
        <v>0.24121811657453204</v>
      </c>
      <c r="F4" s="2">
        <f>F5/$D12</f>
        <v>0.99175257731958766</v>
      </c>
      <c r="G4" s="2">
        <f>G5/$E12</f>
        <v>0.3199495684220735</v>
      </c>
      <c r="H4" s="2">
        <f>H5/$D12</f>
        <v>2.6901718213058418E-3</v>
      </c>
      <c r="I4" s="2">
        <f>I5/$E12</f>
        <v>0.9581223935602754</v>
      </c>
      <c r="K4" s="14" t="s">
        <v>40</v>
      </c>
      <c r="L4" s="2"/>
    </row>
    <row r="5" spans="2:19" x14ac:dyDescent="0.2">
      <c r="B5" s="9" t="s">
        <v>12</v>
      </c>
      <c r="C5" s="9" t="s">
        <v>7</v>
      </c>
      <c r="D5" s="10">
        <v>34032</v>
      </c>
      <c r="E5" s="10">
        <v>12436</v>
      </c>
      <c r="F5" s="10">
        <v>30303</v>
      </c>
      <c r="G5" s="10">
        <v>16495</v>
      </c>
      <c r="H5" s="10">
        <v>82.1982</v>
      </c>
      <c r="I5" s="10">
        <v>49396</v>
      </c>
      <c r="K5" s="15" t="s">
        <v>33</v>
      </c>
      <c r="L5" s="1"/>
      <c r="M5" s="1"/>
      <c r="N5" s="1"/>
      <c r="O5" s="1"/>
      <c r="P5" s="1"/>
      <c r="Q5" s="1"/>
      <c r="R5" s="1"/>
      <c r="S5" s="1"/>
    </row>
    <row r="6" spans="2:19" ht="17" thickBot="1" x14ac:dyDescent="0.25">
      <c r="B6" s="9" t="s">
        <v>11</v>
      </c>
      <c r="C6" s="9" t="s">
        <v>8</v>
      </c>
      <c r="D6" s="2">
        <f>$D12*$D13*$D14*$D15*D4</f>
        <v>1.3102319999999998</v>
      </c>
      <c r="E6" s="2">
        <f>$E12*$E13*$E14*$E15*E4</f>
        <v>0.43978670399999997</v>
      </c>
      <c r="F6" s="2">
        <f>$D12*$D13*$D14*$D15*F4</f>
        <v>1.1666654999999999</v>
      </c>
      <c r="G6" s="2">
        <f>$E12*$E13*$E14*$E15*G4</f>
        <v>0.58332917999999989</v>
      </c>
      <c r="H6" s="2">
        <f>$D12*$D13*$D14*$D15*H4</f>
        <v>3.1646306999999992E-3</v>
      </c>
      <c r="I6" s="2">
        <f>$E12*$E13*$E14*$E15*I4</f>
        <v>1.7468401439999999</v>
      </c>
      <c r="K6" s="16" t="s">
        <v>35</v>
      </c>
      <c r="L6" s="2"/>
      <c r="M6" s="2"/>
    </row>
    <row r="8" spans="2:19" x14ac:dyDescent="0.2">
      <c r="B8" s="4" t="s">
        <v>28</v>
      </c>
      <c r="D8" s="9" t="s">
        <v>0</v>
      </c>
      <c r="E8" s="9" t="s">
        <v>1</v>
      </c>
      <c r="F8" s="9" t="s">
        <v>41</v>
      </c>
      <c r="G8" s="5"/>
    </row>
    <row r="9" spans="2:19" x14ac:dyDescent="0.2">
      <c r="B9" s="9" t="s">
        <v>11</v>
      </c>
      <c r="C9" s="9" t="s">
        <v>8</v>
      </c>
      <c r="E9" s="5"/>
      <c r="F9" s="5">
        <v>1.75</v>
      </c>
      <c r="G9" s="5"/>
    </row>
    <row r="10" spans="2:19" x14ac:dyDescent="0.2">
      <c r="B10" s="9" t="s">
        <v>19</v>
      </c>
      <c r="C10" s="9" t="s">
        <v>15</v>
      </c>
      <c r="D10" s="5">
        <v>372</v>
      </c>
      <c r="E10" s="5">
        <v>247</v>
      </c>
      <c r="F10" s="5"/>
      <c r="G10" s="5"/>
    </row>
    <row r="11" spans="2:19" x14ac:dyDescent="0.2">
      <c r="B11" s="9" t="s">
        <v>16</v>
      </c>
      <c r="C11" s="9" t="s">
        <v>17</v>
      </c>
      <c r="D11" s="5">
        <v>1800</v>
      </c>
      <c r="E11" s="5">
        <v>5010</v>
      </c>
      <c r="F11" s="5"/>
      <c r="G11" s="5"/>
    </row>
    <row r="12" spans="2:19" x14ac:dyDescent="0.2">
      <c r="B12" s="9" t="s">
        <v>2</v>
      </c>
      <c r="C12" s="9" t="s">
        <v>7</v>
      </c>
      <c r="D12" s="11">
        <v>30555</v>
      </c>
      <c r="E12" s="11">
        <v>51555</v>
      </c>
      <c r="F12" s="11"/>
      <c r="G12" s="11"/>
    </row>
    <row r="13" spans="2:19" x14ac:dyDescent="0.2">
      <c r="B13" s="9" t="s">
        <v>3</v>
      </c>
      <c r="C13" s="9"/>
      <c r="D13" s="5">
        <v>0.55000000000000004</v>
      </c>
      <c r="E13" s="5">
        <v>0.50519999999999998</v>
      </c>
      <c r="F13" s="5"/>
      <c r="G13" s="5"/>
    </row>
    <row r="14" spans="2:19" x14ac:dyDescent="0.2">
      <c r="B14" s="9" t="s">
        <v>4</v>
      </c>
      <c r="C14" s="9" t="s">
        <v>9</v>
      </c>
      <c r="D14" s="5">
        <f>70*10^-6</f>
        <v>6.9999999999999994E-5</v>
      </c>
      <c r="E14" s="5">
        <f>70*10^-6</f>
        <v>6.9999999999999994E-5</v>
      </c>
      <c r="F14" s="5"/>
      <c r="G14" s="5"/>
    </row>
    <row r="15" spans="2:19" x14ac:dyDescent="0.2">
      <c r="B15" s="9" t="s">
        <v>5</v>
      </c>
      <c r="C15" s="9" t="s">
        <v>10</v>
      </c>
      <c r="D15" s="5">
        <v>1</v>
      </c>
      <c r="E15" s="5">
        <v>1</v>
      </c>
      <c r="F15" s="5"/>
      <c r="G15" s="5"/>
    </row>
    <row r="17" spans="2:7" x14ac:dyDescent="0.2">
      <c r="B17" s="4" t="s">
        <v>27</v>
      </c>
    </row>
    <row r="18" spans="2:7" x14ac:dyDescent="0.2">
      <c r="B18" s="9" t="s">
        <v>25</v>
      </c>
      <c r="C18" s="9" t="s">
        <v>7</v>
      </c>
      <c r="D18" s="1">
        <f>D5-H5</f>
        <v>33949.801800000001</v>
      </c>
      <c r="F18" s="1">
        <f>F5-H5</f>
        <v>30220.801800000001</v>
      </c>
    </row>
    <row r="19" spans="2:7" x14ac:dyDescent="0.2">
      <c r="B19" s="9" t="s">
        <v>23</v>
      </c>
      <c r="C19" s="9" t="s">
        <v>8</v>
      </c>
      <c r="D19" s="3">
        <f>D18*$D13*$D14*$D15</f>
        <v>1.3070673693000001</v>
      </c>
      <c r="F19" s="3">
        <f>F18*$D13*$D14*$D15</f>
        <v>1.1635008693000002</v>
      </c>
    </row>
    <row r="20" spans="2:7" x14ac:dyDescent="0.2">
      <c r="B20" s="9" t="s">
        <v>13</v>
      </c>
      <c r="C20" s="9" t="s">
        <v>14</v>
      </c>
      <c r="D20" s="5">
        <v>96487</v>
      </c>
      <c r="E20" s="5"/>
      <c r="F20" s="5">
        <v>96487</v>
      </c>
      <c r="G20" s="5"/>
    </row>
    <row r="21" spans="2:7" x14ac:dyDescent="0.2">
      <c r="B21" s="9" t="s">
        <v>24</v>
      </c>
      <c r="C21" s="9" t="s">
        <v>22</v>
      </c>
      <c r="D21" s="1">
        <f>D19*D20</f>
        <v>126115.00926164912</v>
      </c>
      <c r="F21" s="1">
        <f>F19*F20</f>
        <v>112262.70837614912</v>
      </c>
    </row>
    <row r="22" spans="2:7" x14ac:dyDescent="0.2">
      <c r="B22" s="9" t="s">
        <v>38</v>
      </c>
      <c r="C22" s="9" t="s">
        <v>18</v>
      </c>
      <c r="D22" s="5">
        <v>3600</v>
      </c>
      <c r="F22" s="5">
        <v>3600</v>
      </c>
    </row>
    <row r="23" spans="2:7" x14ac:dyDescent="0.2">
      <c r="B23" s="9" t="s">
        <v>26</v>
      </c>
      <c r="C23" s="9" t="s">
        <v>21</v>
      </c>
      <c r="D23" s="2">
        <f>D21/D22</f>
        <v>35.031947017124757</v>
      </c>
      <c r="F23" s="2">
        <f>F21/F22</f>
        <v>31.184085660041422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00E3-BFBF-F047-BACF-86687D11B9F0}">
  <dimension ref="B2:U23"/>
  <sheetViews>
    <sheetView showGridLines="0" zoomScale="81" workbookViewId="0">
      <selection activeCell="D5" sqref="D5"/>
    </sheetView>
  </sheetViews>
  <sheetFormatPr baseColWidth="10" defaultRowHeight="16" x14ac:dyDescent="0.2"/>
  <cols>
    <col min="2" max="2" width="29.1640625" bestFit="1" customWidth="1"/>
    <col min="4" max="4" width="10.83203125" customWidth="1"/>
    <col min="5" max="5" width="11.6640625" bestFit="1" customWidth="1"/>
    <col min="6" max="6" width="4.33203125" customWidth="1"/>
    <col min="9" max="9" width="3" customWidth="1"/>
    <col min="13" max="13" width="14.33203125" bestFit="1" customWidth="1"/>
  </cols>
  <sheetData>
    <row r="2" spans="2:21" x14ac:dyDescent="0.2">
      <c r="B2" s="4" t="s">
        <v>29</v>
      </c>
      <c r="D2" s="9" t="s">
        <v>37</v>
      </c>
      <c r="E2" s="9"/>
      <c r="F2" s="9"/>
      <c r="G2" s="9" t="s">
        <v>20</v>
      </c>
      <c r="H2" s="9"/>
      <c r="I2" s="9"/>
      <c r="J2" s="9" t="s">
        <v>30</v>
      </c>
      <c r="K2" s="9"/>
      <c r="M2" s="8" t="s">
        <v>34</v>
      </c>
    </row>
    <row r="3" spans="2:21" x14ac:dyDescent="0.2">
      <c r="D3" s="9" t="s">
        <v>0</v>
      </c>
      <c r="E3" s="9" t="s">
        <v>1</v>
      </c>
      <c r="F3" s="9"/>
      <c r="G3" s="9" t="s">
        <v>0</v>
      </c>
      <c r="H3" s="9" t="s">
        <v>1</v>
      </c>
      <c r="I3" s="9"/>
      <c r="J3" s="9" t="s">
        <v>0</v>
      </c>
      <c r="K3" s="9" t="s">
        <v>1</v>
      </c>
      <c r="M3" s="6" t="s">
        <v>32</v>
      </c>
    </row>
    <row r="4" spans="2:21" x14ac:dyDescent="0.2">
      <c r="B4" s="9" t="s">
        <v>2</v>
      </c>
      <c r="C4" s="9" t="s">
        <v>7</v>
      </c>
      <c r="D4" s="1">
        <f>D16*D14*D15/D13</f>
        <v>24983.779862154741</v>
      </c>
      <c r="E4" s="1">
        <f>E16*E14*E15/E13</f>
        <v>46171.860911022435</v>
      </c>
      <c r="F4" s="1"/>
      <c r="G4" s="1">
        <f>D4</f>
        <v>24983.779862154741</v>
      </c>
      <c r="H4" s="1">
        <f>E4</f>
        <v>46171.860911022435</v>
      </c>
      <c r="I4" s="1"/>
      <c r="J4" s="1">
        <f>D4</f>
        <v>24983.779862154741</v>
      </c>
      <c r="K4" s="1">
        <f>E4</f>
        <v>46171.860911022435</v>
      </c>
      <c r="M4" s="5" t="s">
        <v>31</v>
      </c>
      <c r="N4" s="1"/>
    </row>
    <row r="5" spans="2:21" x14ac:dyDescent="0.2">
      <c r="B5" s="9" t="s">
        <v>6</v>
      </c>
      <c r="C5" s="9"/>
      <c r="D5" s="2">
        <f>D6/D4</f>
        <v>1.3621637793707686</v>
      </c>
      <c r="E5" s="2">
        <f>E10/(E4*E7*E8*E9)</f>
        <v>-0.12644931100462134</v>
      </c>
      <c r="F5" s="2"/>
      <c r="G5" s="2">
        <f>G10/(G4*G7*G8*G9)</f>
        <v>0.49476332332182843</v>
      </c>
      <c r="H5" s="2">
        <f>(K5+E5)/2</f>
        <v>0.43677534449768934</v>
      </c>
      <c r="I5" s="2"/>
      <c r="J5" s="2">
        <f>J10/(J4*J7*J8*J9)</f>
        <v>-0.37263713272711163</v>
      </c>
      <c r="K5" s="7">
        <v>1</v>
      </c>
      <c r="M5" s="1" t="s">
        <v>33</v>
      </c>
      <c r="N5" s="2"/>
    </row>
    <row r="6" spans="2:21" x14ac:dyDescent="0.2">
      <c r="B6" s="9" t="s">
        <v>12</v>
      </c>
      <c r="C6" s="9" t="s">
        <v>7</v>
      </c>
      <c r="D6" s="10">
        <v>34032</v>
      </c>
      <c r="E6" s="1">
        <f>E4*E5</f>
        <v>-5838.3999999999951</v>
      </c>
      <c r="G6" s="1">
        <f>G4*G5</f>
        <v>12361.057953740652</v>
      </c>
      <c r="H6" s="1">
        <f>H4*H5</f>
        <v>20166.73045551122</v>
      </c>
      <c r="J6" s="1">
        <f>J4*J5</f>
        <v>-9309.8840925186942</v>
      </c>
      <c r="K6" s="1">
        <f>K4*K5</f>
        <v>46171.860911022435</v>
      </c>
      <c r="M6" s="10" t="s">
        <v>35</v>
      </c>
      <c r="N6" s="1"/>
      <c r="O6" s="1"/>
      <c r="P6" s="1"/>
      <c r="Q6" s="1"/>
      <c r="R6" s="1"/>
      <c r="S6" s="1"/>
      <c r="T6" s="1"/>
      <c r="U6" s="1"/>
    </row>
    <row r="7" spans="2:21" x14ac:dyDescent="0.2">
      <c r="B7" s="9" t="s">
        <v>3</v>
      </c>
      <c r="C7" s="9"/>
      <c r="D7">
        <v>0.6</v>
      </c>
      <c r="E7">
        <v>0.5</v>
      </c>
      <c r="G7">
        <v>0.6</v>
      </c>
      <c r="H7">
        <v>0.5</v>
      </c>
      <c r="J7">
        <v>0.6</v>
      </c>
      <c r="K7">
        <v>0.5</v>
      </c>
    </row>
    <row r="8" spans="2:21" x14ac:dyDescent="0.2">
      <c r="B8" s="9" t="s">
        <v>4</v>
      </c>
      <c r="C8" s="9" t="s">
        <v>9</v>
      </c>
      <c r="D8">
        <f>100*10^-6</f>
        <v>9.9999999999999991E-5</v>
      </c>
      <c r="E8">
        <f>100*10^-6</f>
        <v>9.9999999999999991E-5</v>
      </c>
      <c r="G8">
        <f>100*10^-6</f>
        <v>9.9999999999999991E-5</v>
      </c>
      <c r="H8">
        <f>100*10^-6</f>
        <v>9.9999999999999991E-5</v>
      </c>
      <c r="J8">
        <f>100*10^-6</f>
        <v>9.9999999999999991E-5</v>
      </c>
      <c r="K8">
        <f>100*10^-6</f>
        <v>9.9999999999999991E-5</v>
      </c>
    </row>
    <row r="9" spans="2:21" x14ac:dyDescent="0.2">
      <c r="B9" s="9" t="s">
        <v>5</v>
      </c>
      <c r="C9" s="9" t="s">
        <v>10</v>
      </c>
      <c r="D9">
        <v>1</v>
      </c>
      <c r="E9">
        <v>1</v>
      </c>
      <c r="G9">
        <v>1</v>
      </c>
      <c r="H9">
        <v>1</v>
      </c>
      <c r="J9">
        <v>1</v>
      </c>
      <c r="K9">
        <v>1</v>
      </c>
    </row>
    <row r="10" spans="2:21" x14ac:dyDescent="0.2">
      <c r="B10" s="9" t="s">
        <v>11</v>
      </c>
      <c r="C10" s="9" t="s">
        <v>8</v>
      </c>
      <c r="D10" s="2">
        <f>D4*D7*D8*D9*D5</f>
        <v>2.0419199999999997</v>
      </c>
      <c r="E10" s="2">
        <f>D17-D10</f>
        <v>-0.29191999999999974</v>
      </c>
      <c r="F10" s="2"/>
      <c r="G10" s="2">
        <f>D17-H10</f>
        <v>0.74166347722443904</v>
      </c>
      <c r="H10" s="2">
        <f>H4*H7*H8*H9*H5</f>
        <v>1.008336522775561</v>
      </c>
      <c r="I10" s="2"/>
      <c r="J10" s="2">
        <f>D17-K10</f>
        <v>-0.55859304555112166</v>
      </c>
      <c r="K10" s="2">
        <f>K4*K7*K8*K9*K5</f>
        <v>2.3085930455511217</v>
      </c>
      <c r="M10" s="2"/>
      <c r="N10" s="2"/>
      <c r="O10" s="2"/>
    </row>
    <row r="12" spans="2:21" x14ac:dyDescent="0.2">
      <c r="B12" s="4" t="s">
        <v>28</v>
      </c>
    </row>
    <row r="13" spans="2:21" x14ac:dyDescent="0.2">
      <c r="B13" s="9" t="s">
        <v>13</v>
      </c>
      <c r="C13" s="9" t="s">
        <v>14</v>
      </c>
      <c r="D13" s="5">
        <v>96485</v>
      </c>
      <c r="E13" s="5">
        <v>96485</v>
      </c>
    </row>
    <row r="14" spans="2:21" x14ac:dyDescent="0.2">
      <c r="B14" s="9" t="s">
        <v>19</v>
      </c>
      <c r="C14" s="9" t="s">
        <v>15</v>
      </c>
      <c r="D14" s="5">
        <v>372</v>
      </c>
      <c r="E14" s="5">
        <v>247</v>
      </c>
    </row>
    <row r="15" spans="2:21" x14ac:dyDescent="0.2">
      <c r="B15" s="9" t="s">
        <v>16</v>
      </c>
      <c r="C15" s="9" t="s">
        <v>17</v>
      </c>
      <c r="D15" s="5">
        <v>1800</v>
      </c>
      <c r="E15" s="5">
        <v>5010</v>
      </c>
    </row>
    <row r="16" spans="2:21" x14ac:dyDescent="0.2">
      <c r="B16" s="9" t="s">
        <v>38</v>
      </c>
      <c r="C16" s="9" t="s">
        <v>18</v>
      </c>
      <c r="D16" s="5">
        <v>3600</v>
      </c>
      <c r="E16" s="5">
        <v>3600</v>
      </c>
    </row>
    <row r="17" spans="2:5" x14ac:dyDescent="0.2">
      <c r="B17" s="9" t="s">
        <v>36</v>
      </c>
      <c r="C17" s="9" t="s">
        <v>8</v>
      </c>
      <c r="D17" s="5">
        <v>1.75</v>
      </c>
      <c r="E17" s="5"/>
    </row>
    <row r="19" spans="2:5" x14ac:dyDescent="0.2">
      <c r="B19" s="4" t="s">
        <v>27</v>
      </c>
    </row>
    <row r="20" spans="2:5" x14ac:dyDescent="0.2">
      <c r="B20" s="9" t="s">
        <v>25</v>
      </c>
      <c r="C20" s="9" t="s">
        <v>7</v>
      </c>
      <c r="D20" s="1">
        <f>D6-J6</f>
        <v>43341.884092518696</v>
      </c>
    </row>
    <row r="21" spans="2:5" x14ac:dyDescent="0.2">
      <c r="B21" s="9" t="s">
        <v>23</v>
      </c>
      <c r="C21" s="9" t="s">
        <v>8</v>
      </c>
      <c r="D21" s="3">
        <f>D20*D7*D8*D9</f>
        <v>2.6005130455511214</v>
      </c>
    </row>
    <row r="22" spans="2:5" x14ac:dyDescent="0.2">
      <c r="B22" s="9" t="s">
        <v>24</v>
      </c>
      <c r="C22" s="9" t="s">
        <v>22</v>
      </c>
      <c r="D22" s="1">
        <f>D21*D13</f>
        <v>250910.50119999994</v>
      </c>
    </row>
    <row r="23" spans="2:5" x14ac:dyDescent="0.2">
      <c r="B23" s="9" t="s">
        <v>26</v>
      </c>
      <c r="C23" s="9" t="s">
        <v>21</v>
      </c>
      <c r="D23" s="2">
        <f>D22/D16</f>
        <v>69.697361444444425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bosch</vt:lpstr>
      <vt:lpstr>spm_fdm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Kajiura, Yuichi</cp:lastModifiedBy>
  <dcterms:created xsi:type="dcterms:W3CDTF">2022-11-24T00:59:48Z</dcterms:created>
  <dcterms:modified xsi:type="dcterms:W3CDTF">2025-02-06T03:36:39Z</dcterms:modified>
</cp:coreProperties>
</file>